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code_java\HotelBooking\"/>
    </mc:Choice>
  </mc:AlternateContent>
  <xr:revisionPtr revIDLastSave="0" documentId="13_ncr:1_{7832709D-9EEB-40F7-B882-5826856F4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191029"/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G34" i="1"/>
  <c r="G33" i="1"/>
  <c r="G32" i="1"/>
  <c r="G31" i="1"/>
  <c r="G30" i="1"/>
  <c r="G29" i="1"/>
  <c r="G28" i="1"/>
  <c r="G27" i="1"/>
  <c r="G26" i="1"/>
  <c r="G25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<sst xmlns="http://schemas.openxmlformats.org/spreadsheetml/2006/main" count="106" uniqueCount="55">
  <si>
    <t>STT</t>
  </si>
  <si>
    <t>Việc cần làm</t>
  </si>
  <si>
    <t>Trạng thái</t>
  </si>
  <si>
    <t>Người làm</t>
  </si>
  <si>
    <t>Ngày giao</t>
  </si>
  <si>
    <t>Ngày deadline</t>
  </si>
  <si>
    <t>Ngày còn lại</t>
  </si>
  <si>
    <t>Ghi chú</t>
  </si>
  <si>
    <t>Build Plan and short document</t>
  </si>
  <si>
    <t>Đã hoàn thành</t>
  </si>
  <si>
    <t>Nguyễn Hoàng Quân</t>
  </si>
  <si>
    <t>Design Document file</t>
  </si>
  <si>
    <t>Trần Thục Trinh, Hoàng Phương Thảo</t>
  </si>
  <si>
    <t>Design, UML and Class Diagram</t>
  </si>
  <si>
    <t>Nguyễn Quang Phú, Nguyễn Hoàng Minh Hòa</t>
  </si>
  <si>
    <t>Quang Phú 0%, không làm class Diagram</t>
  </si>
  <si>
    <t>Theo dõi sản phẩm và hỗ trợ</t>
  </si>
  <si>
    <t>Rà soát hết lại và nộp bài</t>
  </si>
  <si>
    <t>Design Data Processing</t>
  </si>
  <si>
    <t>Design Class Diagram</t>
  </si>
  <si>
    <t>Desgin Data Model</t>
  </si>
  <si>
    <t>Chưa bắt đầu</t>
  </si>
  <si>
    <t>Hoàng Phương Thảo</t>
  </si>
  <si>
    <t>Interface Design Description</t>
  </si>
  <si>
    <t>Nguyễn Hoàng Quân, Nguyễn Hoàng Minh Hòa</t>
  </si>
  <si>
    <t>Functional Requirement Update</t>
  </si>
  <si>
    <t>Trần Thục Trinh</t>
  </si>
  <si>
    <t>Non-Function</t>
  </si>
  <si>
    <t>DatabaseControl</t>
  </si>
  <si>
    <t>Booking</t>
  </si>
  <si>
    <t>Guest</t>
  </si>
  <si>
    <t>Hotel</t>
  </si>
  <si>
    <t>Manager</t>
  </si>
  <si>
    <t>Payment</t>
  </si>
  <si>
    <t>Room</t>
  </si>
  <si>
    <t>User</t>
  </si>
  <si>
    <t>BookingConfirmationPanel</t>
  </si>
  <si>
    <t>HotelBooking</t>
  </si>
  <si>
    <t xml:space="preserve">Interface  </t>
  </si>
  <si>
    <t>LoginPanel</t>
  </si>
  <si>
    <t>RegisterPanel</t>
  </si>
  <si>
    <t>SearchRoomPanel</t>
  </si>
  <si>
    <t>Nguyễn Hoàng Minh Hòa, Hoàng Phương Thảo</t>
  </si>
  <si>
    <t>Nguyễn Hoàng Minh Hòa</t>
  </si>
  <si>
    <t>Trần Thục Trinh: 15%</t>
  </si>
  <si>
    <t>Hoàng Phương Thảo: 15%</t>
  </si>
  <si>
    <t>Nguyễn Hoàng Quân: 35%</t>
  </si>
  <si>
    <t>Nguyễn Hoàng Minh Hòa: 35%</t>
  </si>
  <si>
    <t>Làm file TC</t>
  </si>
  <si>
    <t>Thực hiện test case</t>
  </si>
  <si>
    <t>Docker</t>
  </si>
  <si>
    <t>Hoàn thiện Project và nộp</t>
  </si>
  <si>
    <t>Tổng quát phần code</t>
  </si>
  <si>
    <t>Trễ hạn</t>
  </si>
  <si>
    <t>Không làm được (Vì file jar không tạo được)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</si>
</sst>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rang tính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H34">
  <tableColumns count="8">
    <tableColumn id="1" xr3:uid="{00000000-0010-0000-0000-000001000000}" name="STT"/>
    <tableColumn id="2" xr3:uid="{00000000-0010-0000-0000-000002000000}" name="Việc cần làm"/>
    <tableColumn id="3" xr3:uid="{00000000-0010-0000-0000-000003000000}" name="Trạng thái"/>
    <tableColumn id="4" xr3:uid="{00000000-0010-0000-0000-000004000000}" name="Người làm"/>
    <tableColumn id="5" xr3:uid="{00000000-0010-0000-0000-000005000000}" name="Ngày giao"/>
    <tableColumn id="6" xr3:uid="{00000000-0010-0000-0000-000006000000}" name="Ngày deadline"/>
    <tableColumn id="7" xr3:uid="{00000000-0010-0000-0000-000007000000}" name="Ngày còn lại"/>
    <tableColumn id="8" xr3:uid="{00000000-0010-0000-0000-000008000000}" name="Ghi chú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4"/>
  <sheetViews>
    <sheetView tabSelected="1" zoomScale="85" zoomScaleNormal="85" workbookViewId="0">
      <pane ySplit="1" topLeftCell="A11" activePane="bottomLeft" state="frozen"/>
      <selection pane="bottomLeft" activeCell="D39" sqref="D39"/>
    </sheetView>
  </sheetViews>
  <sheetFormatPr defaultColWidth="12.5546875" defaultRowHeight="15.75" customHeight="1" x14ac:dyDescent="0.25"/>
  <cols>
    <col min="2" max="2" width="37.5546875" customWidth="1"/>
    <col min="3" max="3" width="31.33203125" customWidth="1"/>
    <col min="4" max="4" width="46.44140625" customWidth="1"/>
    <col min="7" max="7" width="18.88671875" customWidth="1"/>
    <col min="8" max="8" width="38.109375" customWidth="1"/>
  </cols>
  <sheetData>
    <row r="1" spans="1: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5">
      <c r="A2" s="2">
        <v>1</v>
      </c>
      <c r="B2" s="3" t="s">
        <v>8</v>
      </c>
      <c r="C2" s="2" t="s">
        <v>9</v>
      </c>
      <c r="D2" s="3" t="s">
        <v>10</v>
      </c>
      <c r="E2" s="4">
        <v>46027</v>
      </c>
      <c r="F2" s="4">
        <v>46028</v>
      </c>
      <c r="G2" s="2" t="str">
        <f t="shared" ref="G2:G19" ca="1" si="0">IF(C2="Đã hoàn thành",
    "Nhiệm vụ hoàn thành",
    IF(C2="Trễ hạn",
        "Trễ " &amp; TODAY()-F2 &amp; " ngày",
        IF(C2="Đang thực hiện",
            IF(F2="","","Còn " &amp; F2-TODAY() &amp; " ngày"),
        "")
    )
)</f>
        <v>Nhiệm vụ hoàn thành</v>
      </c>
      <c r="H2" s="3"/>
    </row>
    <row r="3" spans="1:8" ht="22.5" customHeight="1" x14ac:dyDescent="0.25">
      <c r="A3" s="2">
        <v>2</v>
      </c>
      <c r="B3" s="3" t="s">
        <v>11</v>
      </c>
      <c r="C3" s="2" t="s">
        <v>9</v>
      </c>
      <c r="D3" s="3" t="s">
        <v>12</v>
      </c>
      <c r="E3" s="4">
        <v>46028</v>
      </c>
      <c r="F3" s="4">
        <v>46029</v>
      </c>
      <c r="G3" s="2" t="str">
        <f t="shared" ca="1" si="0"/>
        <v>Nhiệm vụ hoàn thành</v>
      </c>
      <c r="H3" s="3"/>
    </row>
    <row r="4" spans="1:8" ht="22.5" customHeight="1" x14ac:dyDescent="0.25">
      <c r="A4" s="2">
        <v>3</v>
      </c>
      <c r="B4" s="3" t="s">
        <v>13</v>
      </c>
      <c r="C4" s="2" t="s">
        <v>9</v>
      </c>
      <c r="D4" s="3" t="s">
        <v>14</v>
      </c>
      <c r="E4" s="4">
        <v>46028</v>
      </c>
      <c r="F4" s="4">
        <v>46029</v>
      </c>
      <c r="G4" s="2" t="str">
        <f t="shared" ca="1" si="0"/>
        <v>Nhiệm vụ hoàn thành</v>
      </c>
      <c r="H4" s="3" t="s">
        <v>15</v>
      </c>
    </row>
    <row r="5" spans="1:8" ht="22.5" customHeight="1" x14ac:dyDescent="0.25">
      <c r="A5" s="2">
        <v>4</v>
      </c>
      <c r="B5" s="3" t="s">
        <v>27</v>
      </c>
      <c r="C5" s="2" t="s">
        <v>9</v>
      </c>
      <c r="D5" s="3" t="s">
        <v>22</v>
      </c>
      <c r="E5" s="4">
        <v>46029</v>
      </c>
      <c r="F5" s="4">
        <v>46030</v>
      </c>
      <c r="G5" s="2" t="str">
        <f t="shared" ca="1" si="0"/>
        <v>Nhiệm vụ hoàn thành</v>
      </c>
      <c r="H5" s="3"/>
    </row>
    <row r="6" spans="1:8" ht="22.5" customHeight="1" x14ac:dyDescent="0.25">
      <c r="A6" s="2">
        <v>5</v>
      </c>
      <c r="B6" s="3" t="s">
        <v>16</v>
      </c>
      <c r="C6" s="2" t="s">
        <v>9</v>
      </c>
      <c r="D6" s="3" t="s">
        <v>10</v>
      </c>
      <c r="E6" s="4">
        <v>46028</v>
      </c>
      <c r="F6" s="4">
        <v>46030</v>
      </c>
      <c r="G6" s="2" t="str">
        <f t="shared" ca="1" si="0"/>
        <v>Nhiệm vụ hoàn thành</v>
      </c>
      <c r="H6" s="3"/>
    </row>
    <row r="7" spans="1:8" ht="22.5" customHeight="1" x14ac:dyDescent="0.25">
      <c r="A7" s="2">
        <v>6</v>
      </c>
      <c r="B7" s="3" t="s">
        <v>17</v>
      </c>
      <c r="C7" s="2" t="s">
        <v>9</v>
      </c>
      <c r="D7" s="3" t="s">
        <v>10</v>
      </c>
      <c r="E7" s="4">
        <v>46030</v>
      </c>
      <c r="F7" s="4">
        <v>46030</v>
      </c>
      <c r="G7" s="2" t="str">
        <f t="shared" ca="1" si="0"/>
        <v>Nhiệm vụ hoàn thành</v>
      </c>
      <c r="H7" s="3"/>
    </row>
    <row r="8" spans="1:8" ht="22.5" customHeight="1" x14ac:dyDescent="0.25">
      <c r="A8" s="2">
        <v>7</v>
      </c>
      <c r="B8" s="3" t="s">
        <v>18</v>
      </c>
      <c r="C8" s="2" t="s">
        <v>9</v>
      </c>
      <c r="D8" s="3" t="s">
        <v>10</v>
      </c>
      <c r="E8" s="4">
        <v>46030</v>
      </c>
      <c r="F8" s="4">
        <v>46030</v>
      </c>
      <c r="G8" s="2" t="str">
        <f t="shared" ca="1" si="0"/>
        <v>Nhiệm vụ hoàn thành</v>
      </c>
      <c r="H8" s="3"/>
    </row>
    <row r="9" spans="1:8" ht="22.5" customHeight="1" x14ac:dyDescent="0.25">
      <c r="A9" s="2">
        <v>8</v>
      </c>
      <c r="B9" s="3" t="s">
        <v>19</v>
      </c>
      <c r="C9" s="2" t="s">
        <v>9</v>
      </c>
      <c r="D9" s="3" t="s">
        <v>10</v>
      </c>
      <c r="E9" s="4">
        <v>46030</v>
      </c>
      <c r="F9" s="4">
        <v>46030</v>
      </c>
      <c r="G9" s="2" t="str">
        <f t="shared" ca="1" si="0"/>
        <v>Nhiệm vụ hoàn thành</v>
      </c>
      <c r="H9" s="3"/>
    </row>
    <row r="10" spans="1:8" ht="22.5" customHeight="1" x14ac:dyDescent="0.25">
      <c r="A10" s="2">
        <v>9</v>
      </c>
      <c r="B10" s="3" t="s">
        <v>20</v>
      </c>
      <c r="C10" s="2" t="s">
        <v>9</v>
      </c>
      <c r="D10" s="3" t="s">
        <v>22</v>
      </c>
      <c r="E10" s="4">
        <v>46030</v>
      </c>
      <c r="F10" s="4">
        <v>46030</v>
      </c>
      <c r="G10" s="2" t="str">
        <f t="shared" ca="1" si="0"/>
        <v>Nhiệm vụ hoàn thành</v>
      </c>
      <c r="H10" s="3"/>
    </row>
    <row r="11" spans="1:8" ht="22.5" customHeight="1" x14ac:dyDescent="0.25">
      <c r="A11" s="2">
        <v>10</v>
      </c>
      <c r="B11" s="3" t="s">
        <v>23</v>
      </c>
      <c r="C11" s="2" t="s">
        <v>9</v>
      </c>
      <c r="D11" s="3" t="s">
        <v>24</v>
      </c>
      <c r="E11" s="4">
        <v>38915</v>
      </c>
      <c r="F11" s="4">
        <v>46040</v>
      </c>
      <c r="G11" s="2" t="str">
        <f t="shared" ca="1" si="0"/>
        <v>Nhiệm vụ hoàn thành</v>
      </c>
      <c r="H11" s="3"/>
    </row>
    <row r="12" spans="1:8" ht="22.5" customHeight="1" x14ac:dyDescent="0.25">
      <c r="A12" s="2">
        <v>11</v>
      </c>
      <c r="B12" s="3" t="s">
        <v>25</v>
      </c>
      <c r="C12" s="2" t="s">
        <v>9</v>
      </c>
      <c r="D12" s="3" t="s">
        <v>26</v>
      </c>
      <c r="E12" s="4">
        <v>38734</v>
      </c>
      <c r="F12" s="4">
        <v>46040</v>
      </c>
      <c r="G12" s="2" t="str">
        <f t="shared" ca="1" si="0"/>
        <v>Nhiệm vụ hoàn thành</v>
      </c>
      <c r="H12" s="3"/>
    </row>
    <row r="13" spans="1:8" ht="22.5" customHeight="1" x14ac:dyDescent="0.25">
      <c r="A13" s="2">
        <v>12</v>
      </c>
      <c r="B13" s="3"/>
      <c r="C13" s="2" t="s">
        <v>21</v>
      </c>
      <c r="D13" s="3"/>
      <c r="E13" s="4"/>
      <c r="F13" s="4"/>
      <c r="G13" s="2" t="str">
        <f t="shared" ca="1" si="0"/>
        <v/>
      </c>
      <c r="H13" s="3"/>
    </row>
    <row r="14" spans="1:8" ht="22.5" customHeight="1" x14ac:dyDescent="0.25">
      <c r="A14" s="2">
        <v>13</v>
      </c>
      <c r="B14" s="3" t="s">
        <v>28</v>
      </c>
      <c r="C14" s="2" t="s">
        <v>9</v>
      </c>
      <c r="D14" s="3" t="s">
        <v>10</v>
      </c>
      <c r="E14" s="4">
        <v>46041</v>
      </c>
      <c r="F14" s="4">
        <v>46045</v>
      </c>
      <c r="G14" s="2" t="str">
        <f t="shared" ca="1" si="0"/>
        <v>Nhiệm vụ hoàn thành</v>
      </c>
      <c r="H14" s="3" t="s">
        <v>52</v>
      </c>
    </row>
    <row r="15" spans="1:8" ht="22.5" customHeight="1" x14ac:dyDescent="0.25">
      <c r="A15" s="2">
        <v>14</v>
      </c>
      <c r="B15" s="3" t="s">
        <v>29</v>
      </c>
      <c r="C15" s="2" t="s">
        <v>9</v>
      </c>
      <c r="D15" s="3" t="s">
        <v>26</v>
      </c>
      <c r="E15" s="4">
        <v>46041</v>
      </c>
      <c r="F15" s="4">
        <v>46045</v>
      </c>
      <c r="G15" s="2" t="str">
        <f t="shared" ca="1" si="0"/>
        <v>Nhiệm vụ hoàn thành</v>
      </c>
      <c r="H15" s="3" t="s">
        <v>46</v>
      </c>
    </row>
    <row r="16" spans="1:8" ht="22.5" customHeight="1" x14ac:dyDescent="0.25">
      <c r="A16" s="2">
        <v>15</v>
      </c>
      <c r="B16" s="3" t="s">
        <v>30</v>
      </c>
      <c r="C16" s="2" t="s">
        <v>9</v>
      </c>
      <c r="D16" s="3" t="s">
        <v>10</v>
      </c>
      <c r="E16" s="4">
        <v>46041</v>
      </c>
      <c r="F16" s="4">
        <v>46045</v>
      </c>
      <c r="G16" s="2" t="str">
        <f t="shared" ca="1" si="0"/>
        <v>Nhiệm vụ hoàn thành</v>
      </c>
      <c r="H16" s="3" t="s">
        <v>47</v>
      </c>
    </row>
    <row r="17" spans="1:8" ht="22.5" customHeight="1" x14ac:dyDescent="0.25">
      <c r="A17" s="2">
        <v>16</v>
      </c>
      <c r="B17" s="3" t="s">
        <v>31</v>
      </c>
      <c r="C17" s="2" t="s">
        <v>9</v>
      </c>
      <c r="D17" s="3" t="s">
        <v>43</v>
      </c>
      <c r="E17" s="4">
        <v>46041</v>
      </c>
      <c r="F17" s="4">
        <v>46045</v>
      </c>
      <c r="G17" s="2" t="str">
        <f t="shared" ca="1" si="0"/>
        <v>Nhiệm vụ hoàn thành</v>
      </c>
      <c r="H17" s="3" t="s">
        <v>44</v>
      </c>
    </row>
    <row r="18" spans="1:8" ht="22.5" customHeight="1" x14ac:dyDescent="0.25">
      <c r="A18" s="2">
        <v>17</v>
      </c>
      <c r="B18" s="3" t="s">
        <v>32</v>
      </c>
      <c r="C18" s="2" t="s">
        <v>9</v>
      </c>
      <c r="D18" s="3" t="s">
        <v>42</v>
      </c>
      <c r="E18" s="4">
        <v>46041</v>
      </c>
      <c r="F18" s="4">
        <v>46045</v>
      </c>
      <c r="G18" s="2" t="str">
        <f t="shared" ca="1" si="0"/>
        <v>Nhiệm vụ hoàn thành</v>
      </c>
      <c r="H18" s="3" t="s">
        <v>45</v>
      </c>
    </row>
    <row r="19" spans="1:8" ht="22.5" customHeight="1" x14ac:dyDescent="0.25">
      <c r="A19" s="2">
        <v>18</v>
      </c>
      <c r="B19" s="3" t="s">
        <v>33</v>
      </c>
      <c r="C19" s="2" t="s">
        <v>9</v>
      </c>
      <c r="D19" s="3" t="s">
        <v>43</v>
      </c>
      <c r="E19" s="4">
        <v>46041</v>
      </c>
      <c r="F19" s="4">
        <v>46045</v>
      </c>
      <c r="G19" s="2" t="str">
        <f t="shared" ca="1" si="0"/>
        <v>Nhiệm vụ hoàn thành</v>
      </c>
      <c r="H19" s="3"/>
    </row>
    <row r="20" spans="1:8" ht="15.75" customHeight="1" x14ac:dyDescent="0.25">
      <c r="A20" s="2">
        <v>19</v>
      </c>
      <c r="B20" s="3" t="s">
        <v>34</v>
      </c>
      <c r="C20" s="2" t="s">
        <v>9</v>
      </c>
      <c r="D20" s="3" t="s">
        <v>10</v>
      </c>
      <c r="E20" s="4">
        <v>46041</v>
      </c>
      <c r="F20" s="4">
        <v>46045</v>
      </c>
      <c r="G20" s="2" t="str">
        <f t="shared" ref="G20:G34" ca="1" si="1">IF(C20="Đã hoàn thành",
    "Nhiệm vụ hoàn thành",
    IF(C20="Trễ hạn",
        "Trễ " &amp; TODAY()-F20 &amp; " ngày",
        IF(C20="Đang thực hiện",
            IF(F20="","","Còn " &amp; F20-TODAY() &amp; " ngày"),
        "")
    )
)</f>
        <v>Nhiệm vụ hoàn thành</v>
      </c>
      <c r="H20" s="3"/>
    </row>
    <row r="21" spans="1:8" ht="18.600000000000001" customHeight="1" x14ac:dyDescent="0.25">
      <c r="A21" s="2">
        <v>20</v>
      </c>
      <c r="B21" s="3" t="s">
        <v>35</v>
      </c>
      <c r="C21" s="2" t="s">
        <v>9</v>
      </c>
      <c r="D21" s="3" t="s">
        <v>10</v>
      </c>
      <c r="E21" s="4">
        <v>46041</v>
      </c>
      <c r="F21" s="4">
        <v>46045</v>
      </c>
      <c r="G21" s="2" t="str">
        <f t="shared" ca="1" si="1"/>
        <v>Nhiệm vụ hoàn thành</v>
      </c>
      <c r="H21" s="3"/>
    </row>
    <row r="22" spans="1:8" ht="15.75" customHeight="1" x14ac:dyDescent="0.25">
      <c r="A22" s="2">
        <v>21</v>
      </c>
      <c r="B22" s="3"/>
      <c r="C22" s="2" t="s">
        <v>9</v>
      </c>
      <c r="D22" s="3"/>
      <c r="E22" s="4"/>
      <c r="F22" s="4"/>
      <c r="G22" s="2" t="str">
        <f t="shared" ca="1" si="1"/>
        <v>Nhiệm vụ hoàn thành</v>
      </c>
      <c r="H22" s="3"/>
    </row>
    <row r="23" spans="1:8" ht="15.75" customHeight="1" x14ac:dyDescent="0.25">
      <c r="A23" s="2">
        <v>22</v>
      </c>
      <c r="B23" s="3" t="s">
        <v>36</v>
      </c>
      <c r="C23" s="2" t="s">
        <v>9</v>
      </c>
      <c r="D23" s="3" t="s">
        <v>42</v>
      </c>
      <c r="E23" s="4">
        <v>46046</v>
      </c>
      <c r="F23" s="4">
        <v>46051</v>
      </c>
      <c r="G23" s="2" t="str">
        <f t="shared" ca="1" si="1"/>
        <v>Nhiệm vụ hoàn thành</v>
      </c>
      <c r="H23" s="3"/>
    </row>
    <row r="24" spans="1:8" ht="15.75" customHeight="1" x14ac:dyDescent="0.25">
      <c r="A24" s="2">
        <v>23</v>
      </c>
      <c r="B24" s="3" t="s">
        <v>37</v>
      </c>
      <c r="C24" s="2" t="s">
        <v>9</v>
      </c>
      <c r="D24" s="3" t="s">
        <v>24</v>
      </c>
      <c r="E24" s="4">
        <v>46046</v>
      </c>
      <c r="F24" s="4">
        <v>46051</v>
      </c>
      <c r="G24" s="2" t="str">
        <f t="shared" ca="1" si="1"/>
        <v>Nhiệm vụ hoàn thành</v>
      </c>
      <c r="H24" s="3"/>
    </row>
    <row r="25" spans="1:8" ht="15.75" customHeight="1" x14ac:dyDescent="0.25">
      <c r="A25" s="2">
        <v>24</v>
      </c>
      <c r="B25" s="3" t="s">
        <v>38</v>
      </c>
      <c r="C25" s="2" t="s">
        <v>9</v>
      </c>
      <c r="D25" s="3" t="s">
        <v>10</v>
      </c>
      <c r="E25" s="4">
        <v>46046</v>
      </c>
      <c r="F25" s="4">
        <v>46051</v>
      </c>
      <c r="G25" s="2" t="str">
        <f t="shared" ca="1" si="1"/>
        <v>Nhiệm vụ hoàn thành</v>
      </c>
      <c r="H25" s="3"/>
    </row>
    <row r="26" spans="1:8" ht="15.75" customHeight="1" x14ac:dyDescent="0.25">
      <c r="A26" s="2">
        <v>25</v>
      </c>
      <c r="B26" s="3" t="s">
        <v>39</v>
      </c>
      <c r="C26" s="2" t="s">
        <v>9</v>
      </c>
      <c r="D26" s="3" t="s">
        <v>10</v>
      </c>
      <c r="E26" s="4">
        <v>46046</v>
      </c>
      <c r="F26" s="4">
        <v>46051</v>
      </c>
      <c r="G26" s="2" t="str">
        <f t="shared" ca="1" si="1"/>
        <v>Nhiệm vụ hoàn thành</v>
      </c>
      <c r="H26" s="3"/>
    </row>
    <row r="27" spans="1:8" ht="15.75" customHeight="1" x14ac:dyDescent="0.25">
      <c r="A27" s="2">
        <v>26</v>
      </c>
      <c r="B27" s="3" t="s">
        <v>40</v>
      </c>
      <c r="C27" s="2" t="s">
        <v>9</v>
      </c>
      <c r="D27" s="3" t="s">
        <v>10</v>
      </c>
      <c r="E27" s="4">
        <v>46046</v>
      </c>
      <c r="F27" s="4">
        <v>46051</v>
      </c>
      <c r="G27" s="2" t="str">
        <f t="shared" ca="1" si="1"/>
        <v>Nhiệm vụ hoàn thành</v>
      </c>
      <c r="H27" s="3"/>
    </row>
    <row r="28" spans="1:8" ht="15.75" customHeight="1" x14ac:dyDescent="0.25">
      <c r="A28" s="2">
        <v>27</v>
      </c>
      <c r="B28" s="3" t="s">
        <v>41</v>
      </c>
      <c r="C28" s="2" t="s">
        <v>9</v>
      </c>
      <c r="D28" s="3" t="s">
        <v>26</v>
      </c>
      <c r="E28" s="4">
        <v>46046</v>
      </c>
      <c r="F28" s="4">
        <v>46051</v>
      </c>
      <c r="G28" s="2" t="str">
        <f t="shared" ca="1" si="1"/>
        <v>Nhiệm vụ hoàn thành</v>
      </c>
      <c r="H28" s="3"/>
    </row>
    <row r="29" spans="1:8" ht="15.75" customHeight="1" x14ac:dyDescent="0.25">
      <c r="A29" s="2">
        <v>28</v>
      </c>
      <c r="B29" s="3"/>
      <c r="C29" s="2" t="s">
        <v>21</v>
      </c>
      <c r="D29" s="3"/>
      <c r="E29" s="4"/>
      <c r="F29" s="4"/>
      <c r="G29" s="2" t="str">
        <f t="shared" ca="1" si="1"/>
        <v/>
      </c>
      <c r="H29" s="3"/>
    </row>
    <row r="30" spans="1:8" ht="15.75" customHeight="1" x14ac:dyDescent="0.25">
      <c r="A30" s="2">
        <v>29</v>
      </c>
      <c r="B30" s="3" t="s">
        <v>48</v>
      </c>
      <c r="C30" s="2" t="s">
        <v>9</v>
      </c>
      <c r="D30" s="3" t="s">
        <v>43</v>
      </c>
      <c r="E30" s="4">
        <v>46051</v>
      </c>
      <c r="F30" s="4">
        <v>46051</v>
      </c>
      <c r="G30" s="2" t="str">
        <f t="shared" ca="1" si="1"/>
        <v>Nhiệm vụ hoàn thành</v>
      </c>
      <c r="H30" s="3"/>
    </row>
    <row r="31" spans="1:8" ht="15.75" customHeight="1" x14ac:dyDescent="0.25">
      <c r="A31" s="2">
        <v>30</v>
      </c>
      <c r="B31" s="3" t="s">
        <v>49</v>
      </c>
      <c r="C31" s="2" t="s">
        <v>9</v>
      </c>
      <c r="D31" s="3" t="s">
        <v>10</v>
      </c>
      <c r="E31" s="4">
        <v>46051</v>
      </c>
      <c r="F31" s="4">
        <v>46051</v>
      </c>
      <c r="G31" s="2" t="str">
        <f t="shared" ca="1" si="1"/>
        <v>Nhiệm vụ hoàn thành</v>
      </c>
      <c r="H31" s="3"/>
    </row>
    <row r="32" spans="1:8" ht="15.75" customHeight="1" x14ac:dyDescent="0.25">
      <c r="A32" s="2">
        <v>31</v>
      </c>
      <c r="B32" s="3"/>
      <c r="C32" s="2" t="s">
        <v>21</v>
      </c>
      <c r="D32" s="3"/>
      <c r="E32" s="4"/>
      <c r="F32" s="4"/>
      <c r="G32" s="2" t="str">
        <f t="shared" ca="1" si="1"/>
        <v/>
      </c>
      <c r="H32" s="3"/>
    </row>
    <row r="33" spans="1:8" ht="15.75" customHeight="1" x14ac:dyDescent="0.25">
      <c r="A33" s="2">
        <v>32</v>
      </c>
      <c r="B33" s="3" t="s">
        <v>50</v>
      </c>
      <c r="C33" s="2" t="s">
        <v>53</v>
      </c>
      <c r="D33" s="3" t="s">
        <v>24</v>
      </c>
      <c r="E33" s="4">
        <v>46051</v>
      </c>
      <c r="F33" s="4">
        <v>46051</v>
      </c>
      <c r="G33" s="2" t="str">
        <f t="shared" ca="1" si="1"/>
        <v>Trễ 0 ngày</v>
      </c>
      <c r="H33" s="3" t="s">
        <v>54</v>
      </c>
    </row>
    <row r="34" spans="1:8" ht="15.75" customHeight="1" x14ac:dyDescent="0.25">
      <c r="A34" s="2">
        <v>33</v>
      </c>
      <c r="B34" s="3" t="s">
        <v>51</v>
      </c>
      <c r="C34" s="2" t="s">
        <v>9</v>
      </c>
      <c r="D34" s="3" t="s">
        <v>10</v>
      </c>
      <c r="E34" s="4">
        <v>46051</v>
      </c>
      <c r="F34" s="4">
        <v>46051</v>
      </c>
      <c r="G34" s="2" t="str">
        <f t="shared" ca="1" si="1"/>
        <v>Nhiệm vụ hoàn thành</v>
      </c>
      <c r="H34" s="3"/>
    </row>
  </sheetData>
  <phoneticPr fontId="2" type="noConversion"/>
  <conditionalFormatting sqref="D1">
    <cfRule type="notContainsBlanks" dxfId="0" priority="1">
      <formula>LEN(TRIM(D1))&gt;0</formula>
    </cfRule>
  </conditionalFormatting>
  <dataValidations count="3">
    <dataValidation type="custom" allowBlank="1" showDropDown="1" sqref="E2:F34" xr:uid="{00000000-0002-0000-0000-000000000000}">
      <formula1>OR(NOT(ISERROR(DATEVALUE(E2))), AND(ISNUMBER(E2), LEFT(CELL("format", E2))="D"))</formula1>
    </dataValidation>
    <dataValidation type="list" allowBlank="1" sqref="C2:C34" xr:uid="{00000000-0002-0000-0000-000001000000}">
      <formula1>"Chưa bắt đầu,Đang thực hiện,Đã hoàn thành,Trễ hạn"</formula1>
    </dataValidation>
    <dataValidation allowBlank="1" showDropDown="1" sqref="B2:B34 H2:H34 D2:D34" xr:uid="{00000000-0002-0000-0000-000002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Quân Nguyễn</cp:lastModifiedBy>
  <dcterms:modified xsi:type="dcterms:W3CDTF">2026-01-29T15:52:15Z</dcterms:modified>
</cp:coreProperties>
</file>